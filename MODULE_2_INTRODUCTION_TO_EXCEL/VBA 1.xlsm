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A87940AD-66FE-42B0-8DB6-F2863FC7380F}" xr6:coauthVersionLast="47" xr6:coauthVersionMax="47" xr10:uidLastSave="{00000000-0000-0000-0000-000000000000}"/>
  <bookViews>
    <workbookView xWindow="-108" yWindow="-108" windowWidth="23256" windowHeight="12456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<sst xmlns="http://schemas.openxmlformats.org/spreadsheetml/2006/main" count="86" uniqueCount="37">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</sst>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2">
    <dxf>
      <numFmt numFmtId="164" formatCode="&quot;$&quot;#,##0"/>
    </dxf>
    <dxf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ABCF6F-FCFA-4E9D-8B0B-4A5574B2A537}" name="SalesTable" displayName="SalesTable" ref="B2:H20" totalsRowShown="0">
  <autoFilter ref="B2:H20" xr:uid="{20ABCF6F-FCFA-4E9D-8B0B-4A5574B2A5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5D6DFEF-D3AA-498E-B31F-C93A5F774ED7}" name="Order ID"/>
    <tableColumn id="2" xr3:uid="{AAE487C3-FDA2-4C32-83D1-66F4B4F38D06}" name="Name"/>
    <tableColumn id="3" xr3:uid="{1F5AA34C-76D8-444F-ADE2-87497AE3D59C}" name="Product"/>
    <tableColumn id="4" xr3:uid="{5E551100-2D25-44DB-A949-A8E2C87AA629}" name="Quantity" dataDxfId="1"/>
    <tableColumn id="5" xr3:uid="{E7F786D7-ECC8-4963-8388-00F34A010F80}" name="Price"/>
    <tableColumn id="6" xr3:uid="{502F7F2C-7602-4C87-8163-54AF5DE655B0}" name="Total"/>
    <tableColumn id="7" xr3:uid="{A2957DC0-7BA6-4767-9BD0-BE9CDEBBDEC0}" name="Discount" dataDxfId="0">
      <calculatedColumnFormula>IF(SalesTable[[#This Row],[Quantity]]&gt;10,SalesTable[[#This Row],[Total]]*0.2,0)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H20"/>
  <sheetViews>
    <sheetView tabSelected="1" workbookViewId="0">
      <selection activeCell="G13" sqref="G13"/>
    </sheetView>
  </sheetViews>
  <sheetFormatPr defaultRowHeight="14.4" x14ac:dyDescent="0.3"/>
  <cols>
    <col min="2" max="2" width="13.88671875" customWidth="1"/>
    <col min="3" max="3" width="14.21875" bestFit="1" customWidth="1"/>
    <col min="4" max="4" width="14.88671875" bestFit="1" customWidth="1"/>
    <col min="5" max="5" width="14.5546875" style="6" customWidth="1"/>
    <col min="8" max="8" width="9.88671875" bestFit="1" customWidth="1"/>
  </cols>
  <sheetData>
    <row r="2" spans="2:8" x14ac:dyDescent="0.3">
      <c r="B2" t="s">
        <v>0</v>
      </c>
      <c r="C2" t="s">
        <v>1</v>
      </c>
      <c r="D2" s="1" t="s">
        <v>2</v>
      </c>
      <c r="E2" s="5" t="s">
        <v>3</v>
      </c>
      <c r="F2" t="s">
        <v>4</v>
      </c>
      <c r="G2" t="s">
        <v>6</v>
      </c>
      <c r="H2" t="s">
        <v>5</v>
      </c>
    </row>
    <row r="3" spans="2:8" x14ac:dyDescent="0.3">
      <c r="B3">
        <v>11280</v>
      </c>
      <c r="C3" t="s">
        <v>7</v>
      </c>
      <c r="D3" s="1" t="s">
        <v>8</v>
      </c>
      <c r="E3" s="5">
        <v>15</v>
      </c>
      <c r="F3">
        <v>30000</v>
      </c>
      <c r="G3">
        <v>450000</v>
      </c>
      <c r="H3" s="7">
        <f>IF(SalesTable[[#This Row],[Quantity]]&gt;10,SalesTable[[#This Row],[Total]]*0.2,0)</f>
        <v>90000</v>
      </c>
    </row>
    <row r="4" spans="2:8" x14ac:dyDescent="0.3">
      <c r="B4">
        <v>11281</v>
      </c>
      <c r="C4" t="s">
        <v>9</v>
      </c>
      <c r="D4" s="1" t="s">
        <v>10</v>
      </c>
      <c r="E4" s="5">
        <v>10</v>
      </c>
      <c r="F4">
        <v>25000</v>
      </c>
      <c r="G4">
        <v>250000</v>
      </c>
      <c r="H4" s="7">
        <f>IF(SalesTable[[#This Row],[Quantity]]&gt;10,SalesTable[[#This Row],[Total]]*0.2,0)</f>
        <v>0</v>
      </c>
    </row>
    <row r="5" spans="2:8" x14ac:dyDescent="0.3">
      <c r="B5">
        <v>11282</v>
      </c>
      <c r="C5" t="s">
        <v>11</v>
      </c>
      <c r="D5" s="1" t="s">
        <v>12</v>
      </c>
      <c r="E5" s="5">
        <v>150</v>
      </c>
      <c r="F5">
        <v>28000</v>
      </c>
      <c r="G5">
        <v>4200000</v>
      </c>
      <c r="H5" s="7">
        <f>IF(SalesTable[[#This Row],[Quantity]]&gt;10,SalesTable[[#This Row],[Total]]*0.2,0)</f>
        <v>840000</v>
      </c>
    </row>
    <row r="6" spans="2:8" ht="28.8" x14ac:dyDescent="0.3">
      <c r="B6">
        <v>11283</v>
      </c>
      <c r="C6" t="s">
        <v>13</v>
      </c>
      <c r="D6" s="1" t="s">
        <v>14</v>
      </c>
      <c r="E6" s="5">
        <v>12</v>
      </c>
      <c r="F6">
        <v>30000</v>
      </c>
      <c r="G6">
        <v>360000</v>
      </c>
      <c r="H6" s="7">
        <f>IF(SalesTable[[#This Row],[Quantity]]&gt;10,SalesTable[[#This Row],[Total]]*0.2,0)</f>
        <v>72000</v>
      </c>
    </row>
    <row r="7" spans="2:8" x14ac:dyDescent="0.3">
      <c r="B7">
        <v>11284</v>
      </c>
      <c r="C7" t="s">
        <v>15</v>
      </c>
      <c r="D7" t="s">
        <v>16</v>
      </c>
      <c r="E7" s="6">
        <v>20</v>
      </c>
      <c r="F7">
        <v>30000</v>
      </c>
      <c r="G7">
        <v>600000</v>
      </c>
      <c r="H7" s="7">
        <f>IF(SalesTable[[#This Row],[Quantity]]&gt;10,SalesTable[[#This Row],[Total]]*0.2,0)</f>
        <v>120000</v>
      </c>
    </row>
    <row r="8" spans="2:8" x14ac:dyDescent="0.3">
      <c r="B8">
        <v>11285</v>
      </c>
      <c r="C8" t="s">
        <v>17</v>
      </c>
      <c r="D8" t="s">
        <v>18</v>
      </c>
      <c r="E8" s="6">
        <v>20</v>
      </c>
      <c r="F8">
        <v>26000</v>
      </c>
      <c r="G8">
        <v>520000</v>
      </c>
      <c r="H8" s="7">
        <f>IF(SalesTable[[#This Row],[Quantity]]&gt;10,SalesTable[[#This Row],[Total]]*0.2,0)</f>
        <v>104000</v>
      </c>
    </row>
    <row r="9" spans="2:8" x14ac:dyDescent="0.3">
      <c r="B9">
        <v>11286</v>
      </c>
      <c r="C9" t="s">
        <v>19</v>
      </c>
      <c r="D9" t="s">
        <v>20</v>
      </c>
      <c r="E9" s="6">
        <v>2</v>
      </c>
      <c r="F9">
        <v>30000</v>
      </c>
      <c r="G9">
        <v>60000</v>
      </c>
      <c r="H9" s="7">
        <f>IF(SalesTable[[#This Row],[Quantity]]&gt;10,SalesTable[[#This Row],[Total]]*0.2,0)</f>
        <v>0</v>
      </c>
    </row>
    <row r="10" spans="2:8" x14ac:dyDescent="0.3">
      <c r="B10">
        <v>11287</v>
      </c>
      <c r="C10" t="s">
        <v>21</v>
      </c>
      <c r="D10" t="s">
        <v>22</v>
      </c>
      <c r="E10" s="6">
        <v>5</v>
      </c>
      <c r="F10">
        <v>35000</v>
      </c>
      <c r="G10">
        <v>175000</v>
      </c>
      <c r="H10" s="7">
        <f>IF(SalesTable[[#This Row],[Quantity]]&gt;10,SalesTable[[#This Row],[Total]]*0.2,0)</f>
        <v>0</v>
      </c>
    </row>
    <row r="11" spans="2:8" x14ac:dyDescent="0.3">
      <c r="B11">
        <v>11288</v>
      </c>
      <c r="C11" t="s">
        <v>23</v>
      </c>
      <c r="D11" t="s">
        <v>24</v>
      </c>
      <c r="E11" s="6">
        <v>80</v>
      </c>
      <c r="F11">
        <v>30000</v>
      </c>
      <c r="G11">
        <v>2400000</v>
      </c>
      <c r="H11" s="7">
        <f>IF(SalesTable[[#This Row],[Quantity]]&gt;10,SalesTable[[#This Row],[Total]]*0.2,0)</f>
        <v>480000</v>
      </c>
    </row>
    <row r="12" spans="2:8" x14ac:dyDescent="0.3">
      <c r="B12">
        <v>11289</v>
      </c>
      <c r="C12" t="s">
        <v>25</v>
      </c>
      <c r="D12" t="s">
        <v>26</v>
      </c>
      <c r="E12" s="6">
        <v>100</v>
      </c>
      <c r="F12">
        <v>26000</v>
      </c>
      <c r="G12">
        <v>2600000</v>
      </c>
      <c r="H12" s="7">
        <f>IF(SalesTable[[#This Row],[Quantity]]&gt;10,SalesTable[[#This Row],[Total]]*0.2,0)</f>
        <v>520000</v>
      </c>
    </row>
    <row r="13" spans="2:8" x14ac:dyDescent="0.3">
      <c r="B13">
        <v>11290</v>
      </c>
      <c r="C13" t="s">
        <v>27</v>
      </c>
      <c r="D13" t="s">
        <v>28</v>
      </c>
      <c r="E13" s="6">
        <v>20</v>
      </c>
      <c r="F13">
        <v>35000</v>
      </c>
      <c r="G13">
        <v>700000</v>
      </c>
      <c r="H13" s="7">
        <f>IF(SalesTable[[#This Row],[Quantity]]&gt;10,SalesTable[[#This Row],[Total]]*0.2,0)</f>
        <v>140000</v>
      </c>
    </row>
    <row r="14" spans="2:8" x14ac:dyDescent="0.3">
      <c r="B14">
        <v>11291</v>
      </c>
      <c r="C14" t="s">
        <v>29</v>
      </c>
      <c r="D14" t="s">
        <v>30</v>
      </c>
      <c r="E14" s="6">
        <v>25</v>
      </c>
      <c r="F14">
        <v>40000</v>
      </c>
      <c r="G14">
        <v>1000000</v>
      </c>
      <c r="H14" s="7">
        <f>IF(SalesTable[[#This Row],[Quantity]]&gt;10,SalesTable[[#This Row],[Total]]*0.2,0)</f>
        <v>200000</v>
      </c>
    </row>
    <row r="15" spans="2:8" x14ac:dyDescent="0.3">
      <c r="B15">
        <v>11292</v>
      </c>
      <c r="C15" t="s">
        <v>31</v>
      </c>
      <c r="D15" t="s">
        <v>12</v>
      </c>
      <c r="E15" s="6">
        <v>10</v>
      </c>
      <c r="F15">
        <v>28000</v>
      </c>
      <c r="G15">
        <v>280000</v>
      </c>
      <c r="H15" s="7">
        <f>IF(SalesTable[[#This Row],[Quantity]]&gt;10,SalesTable[[#This Row],[Total]]*0.2,0)</f>
        <v>0</v>
      </c>
    </row>
    <row r="16" spans="2:8" x14ac:dyDescent="0.3">
      <c r="B16">
        <v>11293</v>
      </c>
      <c r="C16" t="s">
        <v>32</v>
      </c>
      <c r="D16" t="s">
        <v>14</v>
      </c>
      <c r="E16" s="6">
        <v>10</v>
      </c>
      <c r="F16">
        <v>30000</v>
      </c>
      <c r="G16">
        <v>300000</v>
      </c>
      <c r="H16" s="7">
        <f>IF(SalesTable[[#This Row],[Quantity]]&gt;10,SalesTable[[#This Row],[Total]]*0.2,0)</f>
        <v>0</v>
      </c>
    </row>
    <row r="17" spans="2:8" x14ac:dyDescent="0.3">
      <c r="B17">
        <v>11294</v>
      </c>
      <c r="C17" t="s">
        <v>33</v>
      </c>
      <c r="D17" t="s">
        <v>16</v>
      </c>
      <c r="E17" s="6">
        <v>5</v>
      </c>
      <c r="F17">
        <v>30000</v>
      </c>
      <c r="G17">
        <v>150000</v>
      </c>
      <c r="H17" s="7">
        <f>IF(SalesTable[[#This Row],[Quantity]]&gt;10,SalesTable[[#This Row],[Total]]*0.2,0)</f>
        <v>0</v>
      </c>
    </row>
    <row r="18" spans="2:8" x14ac:dyDescent="0.3">
      <c r="B18">
        <v>11295</v>
      </c>
      <c r="C18" t="s">
        <v>34</v>
      </c>
      <c r="D18" t="s">
        <v>18</v>
      </c>
      <c r="E18" s="6">
        <v>180</v>
      </c>
      <c r="F18">
        <v>26000</v>
      </c>
      <c r="G18">
        <v>4680000</v>
      </c>
      <c r="H18" s="7">
        <f>IF(SalesTable[[#This Row],[Quantity]]&gt;10,SalesTable[[#This Row],[Total]]*0.2,0)</f>
        <v>936000</v>
      </c>
    </row>
    <row r="19" spans="2:8" x14ac:dyDescent="0.3">
      <c r="B19">
        <v>11296</v>
      </c>
      <c r="C19" t="s">
        <v>35</v>
      </c>
      <c r="D19" t="s">
        <v>20</v>
      </c>
      <c r="E19" s="6">
        <v>5</v>
      </c>
      <c r="F19">
        <v>30000</v>
      </c>
      <c r="G19">
        <v>150000</v>
      </c>
      <c r="H19" s="7">
        <f>IF(SalesTable[[#This Row],[Quantity]]&gt;10,SalesTable[[#This Row],[Total]]*0.2,0)</f>
        <v>0</v>
      </c>
    </row>
    <row r="20" spans="2:8" x14ac:dyDescent="0.3">
      <c r="B20">
        <v>11297</v>
      </c>
      <c r="C20" t="s">
        <v>36</v>
      </c>
      <c r="D20" t="s">
        <v>22</v>
      </c>
      <c r="E20" s="6">
        <v>250</v>
      </c>
      <c r="F20">
        <v>35000</v>
      </c>
      <c r="G20">
        <v>8750000</v>
      </c>
      <c r="H20" s="7">
        <f>IF(SalesTable[[#This Row],[Quantity]]&gt;10,SalesTable[[#This Row],[Total]]*0.2,0)</f>
        <v>1750000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7" sqref="H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Smit Patel</cp:lastModifiedBy>
  <dcterms:created xsi:type="dcterms:W3CDTF">2024-05-20T09:31:27Z</dcterms:created>
  <dcterms:modified xsi:type="dcterms:W3CDTF">2025-05-20T01:37:09Z</dcterms:modified>
</cp:coreProperties>
</file>